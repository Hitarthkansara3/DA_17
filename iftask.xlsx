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itarth_DA17\EXCEL\"/>
    </mc:Choice>
  </mc:AlternateContent>
  <xr:revisionPtr revIDLastSave="0" documentId="8_{A4465EE2-3070-4458-A9C6-625C0CE7261C}" xr6:coauthVersionLast="47" xr6:coauthVersionMax="47" xr10:uidLastSave="{00000000-0000-0000-0000-000000000000}"/>
  <bookViews>
    <workbookView xWindow="-120" yWindow="-120" windowWidth="20730" windowHeight="11040" activeTab="7" xr2:uid="{5B7DA33E-C620-4692-A3ED-6DAB03791ACD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" i="10" l="1"/>
  <c r="H8" i="10"/>
  <c r="H9" i="10"/>
  <c r="H6" i="10"/>
  <c r="I9" i="9"/>
  <c r="I10" i="9"/>
  <c r="I11" i="9"/>
  <c r="I8" i="9"/>
  <c r="H9" i="9"/>
  <c r="H10" i="9"/>
  <c r="H11" i="9"/>
  <c r="H8" i="9"/>
  <c r="G6" i="8"/>
  <c r="G7" i="8"/>
  <c r="G8" i="8"/>
  <c r="G5" i="8"/>
  <c r="K11" i="7"/>
  <c r="K12" i="7"/>
  <c r="K13" i="7"/>
  <c r="K10" i="7"/>
  <c r="J9" i="6"/>
  <c r="J10" i="6"/>
  <c r="J11" i="6"/>
  <c r="J8" i="6"/>
  <c r="I11" i="5"/>
  <c r="I12" i="5"/>
  <c r="I13" i="5"/>
  <c r="I10" i="5"/>
  <c r="I11" i="4"/>
  <c r="I12" i="4"/>
  <c r="I13" i="4"/>
  <c r="I10" i="4"/>
  <c r="G13" i="3"/>
  <c r="G14" i="3"/>
  <c r="G15" i="3"/>
  <c r="G16" i="3"/>
  <c r="G12" i="3"/>
  <c r="H10" i="2"/>
  <c r="H11" i="2"/>
  <c r="H12" i="2"/>
  <c r="H9" i="2"/>
  <c r="J13" i="1"/>
  <c r="J14" i="1"/>
  <c r="J15" i="1"/>
  <c r="J16" i="1"/>
  <c r="J12" i="1"/>
</calcChain>
</file>

<file path=xl/sharedStrings.xml><?xml version="1.0" encoding="utf-8"?>
<sst xmlns="http://schemas.openxmlformats.org/spreadsheetml/2006/main" count="87" uniqueCount="50">
  <si>
    <t>Task 1: Pass / Fail using IF</t>
  </si>
  <si>
    <t>Roll No</t>
  </si>
  <si>
    <t>Student Name</t>
  </si>
  <si>
    <t>Marks</t>
  </si>
  <si>
    <t>Result</t>
  </si>
  <si>
    <t>Aman</t>
  </si>
  <si>
    <t>Bharti</t>
  </si>
  <si>
    <t>Rohan</t>
  </si>
  <si>
    <t>Deepa</t>
  </si>
  <si>
    <t>Farhan</t>
  </si>
  <si>
    <t>Task 2: Salary Bonus Check (IF)</t>
  </si>
  <si>
    <t>Employee Name</t>
  </si>
  <si>
    <t>Salary</t>
  </si>
  <si>
    <t>Bonus Status</t>
  </si>
  <si>
    <t>Rohit</t>
  </si>
  <si>
    <t>Simran</t>
  </si>
  <si>
    <t>Vijay</t>
  </si>
  <si>
    <t>Nisha</t>
  </si>
  <si>
    <t>Task 3: Grade Calculation (Nested IF)</t>
  </si>
  <si>
    <t>Grade</t>
  </si>
  <si>
    <t>Task 4: Job Eligibility (AND)</t>
  </si>
  <si>
    <t>Name</t>
  </si>
  <si>
    <t>Age</t>
  </si>
  <si>
    <t>Experience (Years)</t>
  </si>
  <si>
    <t>Eligible</t>
  </si>
  <si>
    <t>Task 5: Exam Eligibility (AND)</t>
  </si>
  <si>
    <t>Attendance %</t>
  </si>
  <si>
    <t>Assignment Submitted</t>
  </si>
  <si>
    <t>Yes</t>
  </si>
  <si>
    <t>No</t>
  </si>
  <si>
    <t>Customer Name</t>
  </si>
  <si>
    <t>Purchase Amount</t>
  </si>
  <si>
    <t>Membership</t>
  </si>
  <si>
    <t>Discount</t>
  </si>
  <si>
    <t>Aakash</t>
  </si>
  <si>
    <t>Bhavna</t>
  </si>
  <si>
    <t>Divya</t>
  </si>
  <si>
    <t>Applicant</t>
  </si>
  <si>
    <t>CIBIL Score</t>
  </si>
  <si>
    <t>Loan Status</t>
  </si>
  <si>
    <t>Present</t>
  </si>
  <si>
    <t>Status</t>
  </si>
  <si>
    <t>Number 1</t>
  </si>
  <si>
    <t>Number 2</t>
  </si>
  <si>
    <t>Targets Achieved</t>
  </si>
  <si>
    <t>Performance</t>
  </si>
  <si>
    <t>Raj</t>
  </si>
  <si>
    <t>Sunita</t>
  </si>
  <si>
    <t>Manoj</t>
  </si>
  <si>
    <t>Kavita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</si>
</sst>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12"/>
      <color rgb="FF1F2328"/>
      <name val="Segoe UI"/>
      <family val="2"/>
    </font>
    <font>
      <sz val="12"/>
      <color rgb="FF1F2328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2">
    <border>
      <left/>
      <right/>
      <top/>
      <bottom/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 indent="1"/>
    </xf>
    <xf numFmtId="0" fontId="4" fillId="4" borderId="1" xfId="0" applyFont="1" applyFill="1" applyBorder="1" applyAlignment="1">
      <alignment horizontal="left" vertical="center" wrapText="1" indent="1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782A5-52AC-4484-8342-09524C668A4A}">
  <dimension ref="G2:P16"/>
  <sheetViews>
    <sheetView topLeftCell="A4" workbookViewId="0">
      <selection activeCell="L12" sqref="L12"/>
    </sheetView>
  </sheetViews>
  <sheetFormatPr defaultRowHeight="15" x14ac:dyDescent="0.25"/>
  <cols>
    <col min="8" max="8" width="13" customWidth="1"/>
    <col min="10" max="10" width="28.42578125" customWidth="1"/>
  </cols>
  <sheetData>
    <row r="2" spans="7:16" x14ac:dyDescent="0.25">
      <c r="G2" s="1" t="s">
        <v>0</v>
      </c>
      <c r="H2" s="2"/>
      <c r="I2" s="2"/>
      <c r="J2" s="2"/>
      <c r="K2" s="2"/>
      <c r="L2" s="2"/>
      <c r="M2" s="2"/>
      <c r="N2" s="2"/>
      <c r="O2" s="2"/>
      <c r="P2" s="2"/>
    </row>
    <row r="3" spans="7:16" x14ac:dyDescent="0.25">
      <c r="G3" s="2"/>
      <c r="H3" s="2"/>
      <c r="I3" s="2"/>
      <c r="J3" s="2"/>
      <c r="K3" s="2"/>
      <c r="L3" s="2"/>
      <c r="M3" s="2"/>
      <c r="N3" s="2"/>
      <c r="O3" s="2"/>
      <c r="P3" s="2"/>
    </row>
    <row r="4" spans="7:16" x14ac:dyDescent="0.25">
      <c r="G4" s="2"/>
      <c r="H4" s="2"/>
      <c r="I4" s="2"/>
      <c r="J4" s="2"/>
      <c r="K4" s="2"/>
      <c r="L4" s="2"/>
      <c r="M4" s="2"/>
      <c r="N4" s="2"/>
      <c r="O4" s="2"/>
      <c r="P4" s="2"/>
    </row>
    <row r="10" spans="7:16" ht="15.75" thickBot="1" x14ac:dyDescent="0.3"/>
    <row r="11" spans="7:16" ht="52.5" thickBot="1" x14ac:dyDescent="0.3">
      <c r="G11" s="3" t="s">
        <v>1</v>
      </c>
      <c r="H11" s="3" t="s">
        <v>2</v>
      </c>
      <c r="I11" s="3" t="s">
        <v>3</v>
      </c>
      <c r="J11" s="3" t="s">
        <v>4</v>
      </c>
    </row>
    <row r="12" spans="7:16" ht="18" thickBot="1" x14ac:dyDescent="0.3">
      <c r="G12" s="4">
        <v>1</v>
      </c>
      <c r="H12" s="4" t="s">
        <v>5</v>
      </c>
      <c r="I12" s="4">
        <v>78</v>
      </c>
      <c r="J12" s="4" t="str">
        <f>IF(I12&gt;=40,"PASS","FAIL")</f>
        <v>PASS</v>
      </c>
    </row>
    <row r="13" spans="7:16" ht="18" thickBot="1" x14ac:dyDescent="0.3">
      <c r="G13" s="5">
        <v>2</v>
      </c>
      <c r="H13" s="5" t="s">
        <v>6</v>
      </c>
      <c r="I13" s="5">
        <v>35</v>
      </c>
      <c r="J13" s="4" t="str">
        <f t="shared" ref="J13:J16" si="0">IF(I13&gt;=40,"PASS","FAIL")</f>
        <v>FAIL</v>
      </c>
    </row>
    <row r="14" spans="7:16" ht="18" thickBot="1" x14ac:dyDescent="0.3">
      <c r="G14" s="4">
        <v>3</v>
      </c>
      <c r="H14" s="4" t="s">
        <v>7</v>
      </c>
      <c r="I14" s="4">
        <v>62</v>
      </c>
      <c r="J14" s="4" t="str">
        <f t="shared" si="0"/>
        <v>PASS</v>
      </c>
    </row>
    <row r="15" spans="7:16" ht="18" thickBot="1" x14ac:dyDescent="0.3">
      <c r="G15" s="5">
        <v>4</v>
      </c>
      <c r="H15" s="5" t="s">
        <v>8</v>
      </c>
      <c r="I15" s="5">
        <v>40</v>
      </c>
      <c r="J15" s="4" t="str">
        <f t="shared" si="0"/>
        <v>PASS</v>
      </c>
    </row>
    <row r="16" spans="7:16" ht="35.25" thickBot="1" x14ac:dyDescent="0.3">
      <c r="G16" s="4">
        <v>5</v>
      </c>
      <c r="H16" s="4" t="s">
        <v>9</v>
      </c>
      <c r="I16" s="4">
        <v>28</v>
      </c>
      <c r="J16" s="4" t="str">
        <f t="shared" si="0"/>
        <v>FAIL</v>
      </c>
    </row>
  </sheetData>
  <mergeCells count="1">
    <mergeCell ref="G2:P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D66B5-E253-4F0B-A9F4-7D8246E5708B}">
  <dimension ref="F2:N12"/>
  <sheetViews>
    <sheetView workbookViewId="0">
      <selection activeCell="H9" sqref="H9:H12"/>
    </sheetView>
  </sheetViews>
  <sheetFormatPr defaultRowHeight="15" x14ac:dyDescent="0.25"/>
  <cols>
    <col min="6" max="6" width="26.85546875" customWidth="1"/>
    <col min="7" max="7" width="25.85546875" customWidth="1"/>
    <col min="8" max="8" width="27.5703125" customWidth="1"/>
  </cols>
  <sheetData>
    <row r="2" spans="6:14" x14ac:dyDescent="0.25">
      <c r="F2" s="6" t="s">
        <v>10</v>
      </c>
      <c r="G2" s="2"/>
      <c r="H2" s="2"/>
      <c r="I2" s="2"/>
      <c r="J2" s="2"/>
      <c r="K2" s="2"/>
      <c r="L2" s="2"/>
      <c r="M2" s="2"/>
      <c r="N2" s="2"/>
    </row>
    <row r="3" spans="6:14" x14ac:dyDescent="0.25">
      <c r="F3" s="2"/>
      <c r="G3" s="2"/>
      <c r="H3" s="2"/>
      <c r="I3" s="2"/>
      <c r="J3" s="2"/>
      <c r="K3" s="2"/>
      <c r="L3" s="2"/>
      <c r="M3" s="2"/>
      <c r="N3" s="2"/>
    </row>
    <row r="4" spans="6:14" x14ac:dyDescent="0.25">
      <c r="F4" s="2"/>
      <c r="G4" s="2"/>
      <c r="H4" s="2"/>
      <c r="I4" s="2"/>
      <c r="J4" s="2"/>
      <c r="K4" s="2"/>
      <c r="L4" s="2"/>
      <c r="M4" s="2"/>
      <c r="N4" s="2"/>
    </row>
    <row r="7" spans="6:14" ht="15.75" thickBot="1" x14ac:dyDescent="0.3"/>
    <row r="8" spans="6:14" ht="52.5" thickBot="1" x14ac:dyDescent="0.3">
      <c r="F8" s="3" t="s">
        <v>11</v>
      </c>
      <c r="G8" s="3" t="s">
        <v>12</v>
      </c>
      <c r="H8" s="3" t="s">
        <v>13</v>
      </c>
    </row>
    <row r="9" spans="6:14" ht="18" thickBot="1" x14ac:dyDescent="0.3">
      <c r="F9" s="4" t="s">
        <v>14</v>
      </c>
      <c r="G9" s="4">
        <v>28000</v>
      </c>
      <c r="H9" s="4" t="str">
        <f>IF(G9&gt;=40000,"Bounse","No Bounce")</f>
        <v>No Bounce</v>
      </c>
    </row>
    <row r="10" spans="6:14" ht="18" thickBot="1" x14ac:dyDescent="0.3">
      <c r="F10" s="5" t="s">
        <v>15</v>
      </c>
      <c r="G10" s="5">
        <v>45000</v>
      </c>
      <c r="H10" s="4" t="str">
        <f t="shared" ref="H10:H12" si="0">IF(G10&gt;=40000,"Bounse","No Bounce")</f>
        <v>Bounse</v>
      </c>
    </row>
    <row r="11" spans="6:14" ht="18" thickBot="1" x14ac:dyDescent="0.3">
      <c r="F11" s="4" t="s">
        <v>16</v>
      </c>
      <c r="G11" s="4">
        <v>52000</v>
      </c>
      <c r="H11" s="4" t="str">
        <f t="shared" si="0"/>
        <v>Bounse</v>
      </c>
    </row>
    <row r="12" spans="6:14" ht="18" thickBot="1" x14ac:dyDescent="0.3">
      <c r="F12" s="5" t="s">
        <v>17</v>
      </c>
      <c r="G12" s="5">
        <v>30000</v>
      </c>
      <c r="H12" s="4" t="str">
        <f t="shared" si="0"/>
        <v>No Bounce</v>
      </c>
    </row>
  </sheetData>
  <mergeCells count="1">
    <mergeCell ref="F2:N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7BC4D-6613-412A-8A82-287D8DB06DC9}">
  <dimension ref="E3:M16"/>
  <sheetViews>
    <sheetView workbookViewId="0">
      <selection activeCell="I15" sqref="I15"/>
    </sheetView>
  </sheetViews>
  <sheetFormatPr defaultRowHeight="15" x14ac:dyDescent="0.25"/>
  <cols>
    <col min="5" max="5" width="24.140625" customWidth="1"/>
    <col min="6" max="6" width="23.140625" customWidth="1"/>
    <col min="7" max="7" width="24.42578125" customWidth="1"/>
  </cols>
  <sheetData>
    <row r="3" spans="5:13" x14ac:dyDescent="0.25">
      <c r="E3" s="1" t="s">
        <v>18</v>
      </c>
      <c r="F3" s="2"/>
      <c r="G3" s="2"/>
      <c r="H3" s="2"/>
      <c r="I3" s="2"/>
      <c r="J3" s="2"/>
      <c r="K3" s="2"/>
      <c r="L3" s="2"/>
      <c r="M3" s="2"/>
    </row>
    <row r="4" spans="5:13" x14ac:dyDescent="0.25">
      <c r="E4" s="2"/>
      <c r="F4" s="2"/>
      <c r="G4" s="2"/>
      <c r="H4" s="2"/>
      <c r="I4" s="2"/>
      <c r="J4" s="2"/>
      <c r="K4" s="2"/>
      <c r="L4" s="2"/>
      <c r="M4" s="2"/>
    </row>
    <row r="5" spans="5:13" x14ac:dyDescent="0.25">
      <c r="E5" s="2"/>
      <c r="F5" s="2"/>
      <c r="G5" s="2"/>
      <c r="H5" s="2"/>
      <c r="I5" s="2"/>
      <c r="J5" s="2"/>
      <c r="K5" s="2"/>
      <c r="L5" s="2"/>
      <c r="M5" s="2"/>
    </row>
    <row r="10" spans="5:13" ht="15.75" thickBot="1" x14ac:dyDescent="0.3"/>
    <row r="11" spans="5:13" ht="52.5" thickBot="1" x14ac:dyDescent="0.3">
      <c r="E11" s="3" t="s">
        <v>2</v>
      </c>
      <c r="F11" s="3" t="s">
        <v>3</v>
      </c>
      <c r="G11" s="3" t="s">
        <v>19</v>
      </c>
    </row>
    <row r="12" spans="5:13" ht="18" thickBot="1" x14ac:dyDescent="0.3">
      <c r="E12" s="4" t="s">
        <v>5</v>
      </c>
      <c r="F12" s="4">
        <v>82</v>
      </c>
      <c r="G12" s="4" t="str">
        <f>IF(F12&gt;=75,"A",IF(F12&gt;=60,"B",IF(F12&gt;=40,"C","Fail")))</f>
        <v>A</v>
      </c>
    </row>
    <row r="13" spans="5:13" ht="18" thickBot="1" x14ac:dyDescent="0.3">
      <c r="E13" s="5" t="s">
        <v>6</v>
      </c>
      <c r="F13" s="5">
        <v>67</v>
      </c>
      <c r="G13" s="4" t="str">
        <f t="shared" ref="G13:G16" si="0">IF(F13&gt;=75,"A",IF(F13&gt;=60,"B",IF(F13&gt;=40,"C","Fail")))</f>
        <v>B</v>
      </c>
    </row>
    <row r="14" spans="5:13" ht="18" thickBot="1" x14ac:dyDescent="0.3">
      <c r="E14" s="4" t="s">
        <v>7</v>
      </c>
      <c r="F14" s="4">
        <v>45</v>
      </c>
      <c r="G14" s="4" t="str">
        <f t="shared" si="0"/>
        <v>C</v>
      </c>
    </row>
    <row r="15" spans="5:13" ht="18" thickBot="1" x14ac:dyDescent="0.3">
      <c r="E15" s="5" t="s">
        <v>8</v>
      </c>
      <c r="F15" s="5">
        <v>33</v>
      </c>
      <c r="G15" s="4" t="str">
        <f t="shared" si="0"/>
        <v>Fail</v>
      </c>
    </row>
    <row r="16" spans="5:13" ht="18" thickBot="1" x14ac:dyDescent="0.3">
      <c r="E16" s="4" t="s">
        <v>9</v>
      </c>
      <c r="F16" s="4">
        <v>90</v>
      </c>
      <c r="G16" s="4" t="str">
        <f t="shared" si="0"/>
        <v>A</v>
      </c>
    </row>
  </sheetData>
  <mergeCells count="1">
    <mergeCell ref="E3:M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7B520-9C54-4868-A715-F4EE8C1DB8A9}">
  <dimension ref="F3:M13"/>
  <sheetViews>
    <sheetView workbookViewId="0">
      <selection activeCell="I10" sqref="I10:I13"/>
    </sheetView>
  </sheetViews>
  <sheetFormatPr defaultRowHeight="15" x14ac:dyDescent="0.25"/>
  <cols>
    <col min="8" max="8" width="25.42578125" customWidth="1"/>
    <col min="9" max="9" width="14.42578125" customWidth="1"/>
  </cols>
  <sheetData>
    <row r="3" spans="6:13" x14ac:dyDescent="0.25">
      <c r="F3" s="6" t="s">
        <v>20</v>
      </c>
      <c r="G3" s="2"/>
      <c r="H3" s="2"/>
      <c r="I3" s="2"/>
      <c r="J3" s="2"/>
      <c r="K3" s="2"/>
      <c r="L3" s="2"/>
      <c r="M3" s="2"/>
    </row>
    <row r="4" spans="6:13" x14ac:dyDescent="0.25">
      <c r="F4" s="2"/>
      <c r="G4" s="2"/>
      <c r="H4" s="2"/>
      <c r="I4" s="2"/>
      <c r="J4" s="2"/>
      <c r="K4" s="2"/>
      <c r="L4" s="2"/>
      <c r="M4" s="2"/>
    </row>
    <row r="5" spans="6:13" x14ac:dyDescent="0.25">
      <c r="F5" s="2"/>
      <c r="G5" s="2"/>
      <c r="H5" s="2"/>
      <c r="I5" s="2"/>
      <c r="J5" s="2"/>
      <c r="K5" s="2"/>
      <c r="L5" s="2"/>
      <c r="M5" s="2"/>
    </row>
    <row r="8" spans="6:13" ht="15.75" thickBot="1" x14ac:dyDescent="0.3"/>
    <row r="9" spans="6:13" ht="52.5" thickBot="1" x14ac:dyDescent="0.3">
      <c r="F9" s="3" t="s">
        <v>21</v>
      </c>
      <c r="G9" s="3" t="s">
        <v>22</v>
      </c>
      <c r="H9" s="3" t="s">
        <v>23</v>
      </c>
      <c r="I9" s="3" t="s">
        <v>24</v>
      </c>
    </row>
    <row r="10" spans="6:13" ht="18" thickBot="1" x14ac:dyDescent="0.3">
      <c r="F10" s="4" t="s">
        <v>14</v>
      </c>
      <c r="G10" s="4">
        <v>25</v>
      </c>
      <c r="H10" s="4">
        <v>2</v>
      </c>
      <c r="I10" s="4" t="str">
        <f>IF(AND(G10&gt;=21,H10&gt;=1),"Eligible","Not Eligible")</f>
        <v>Eligible</v>
      </c>
    </row>
    <row r="11" spans="6:13" ht="35.25" thickBot="1" x14ac:dyDescent="0.3">
      <c r="F11" s="5" t="s">
        <v>15</v>
      </c>
      <c r="G11" s="5">
        <v>20</v>
      </c>
      <c r="H11" s="5">
        <v>1</v>
      </c>
      <c r="I11" s="4" t="str">
        <f t="shared" ref="I11:I13" si="0">IF(AND(G11&gt;=21,H11&gt;=1),"Eligible","Not Eligible")</f>
        <v>Not Eligible</v>
      </c>
    </row>
    <row r="12" spans="6:13" ht="18" thickBot="1" x14ac:dyDescent="0.3">
      <c r="F12" s="4" t="s">
        <v>16</v>
      </c>
      <c r="G12" s="4">
        <v>30</v>
      </c>
      <c r="H12" s="4">
        <v>5</v>
      </c>
      <c r="I12" s="4" t="str">
        <f t="shared" si="0"/>
        <v>Eligible</v>
      </c>
    </row>
    <row r="13" spans="6:13" ht="18" thickBot="1" x14ac:dyDescent="0.3">
      <c r="F13" s="5" t="s">
        <v>17</v>
      </c>
      <c r="G13" s="5">
        <v>22</v>
      </c>
      <c r="H13" s="5">
        <v>0</v>
      </c>
      <c r="I13" s="4" t="str">
        <f t="shared" si="0"/>
        <v>Not Eligible</v>
      </c>
    </row>
  </sheetData>
  <mergeCells count="1">
    <mergeCell ref="F3:M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808C8-9874-40AA-93A7-4E8AA67E7918}">
  <dimension ref="E3:M13"/>
  <sheetViews>
    <sheetView workbookViewId="0">
      <selection activeCell="I10" sqref="I10:I13"/>
    </sheetView>
  </sheetViews>
  <sheetFormatPr defaultRowHeight="15" x14ac:dyDescent="0.25"/>
  <cols>
    <col min="4" max="4" width="6.140625" customWidth="1"/>
    <col min="5" max="5" width="2.85546875" hidden="1" customWidth="1"/>
    <col min="6" max="6" width="16.5703125" customWidth="1"/>
    <col min="7" max="7" width="16.7109375" customWidth="1"/>
    <col min="8" max="8" width="18.5703125" customWidth="1"/>
    <col min="9" max="9" width="15.28515625" customWidth="1"/>
  </cols>
  <sheetData>
    <row r="3" spans="6:13" x14ac:dyDescent="0.25">
      <c r="F3" s="6" t="s">
        <v>25</v>
      </c>
      <c r="G3" s="2"/>
      <c r="H3" s="2"/>
      <c r="I3" s="2"/>
      <c r="J3" s="2"/>
      <c r="K3" s="2"/>
      <c r="L3" s="2"/>
      <c r="M3" s="2"/>
    </row>
    <row r="4" spans="6:13" x14ac:dyDescent="0.25">
      <c r="F4" s="2"/>
      <c r="G4" s="2"/>
      <c r="H4" s="2"/>
      <c r="I4" s="2"/>
      <c r="J4" s="2"/>
      <c r="K4" s="2"/>
      <c r="L4" s="2"/>
      <c r="M4" s="2"/>
    </row>
    <row r="5" spans="6:13" x14ac:dyDescent="0.25">
      <c r="F5" s="2"/>
      <c r="G5" s="2"/>
      <c r="H5" s="2"/>
      <c r="I5" s="2"/>
      <c r="J5" s="2"/>
      <c r="K5" s="2"/>
      <c r="L5" s="2"/>
      <c r="M5" s="2"/>
    </row>
    <row r="8" spans="6:13" ht="15.75" thickBot="1" x14ac:dyDescent="0.3"/>
    <row r="9" spans="6:13" ht="69.75" thickBot="1" x14ac:dyDescent="0.3">
      <c r="F9" s="3" t="s">
        <v>2</v>
      </c>
      <c r="G9" s="3" t="s">
        <v>26</v>
      </c>
      <c r="H9" s="3" t="s">
        <v>27</v>
      </c>
      <c r="I9" s="3" t="s">
        <v>24</v>
      </c>
    </row>
    <row r="10" spans="6:13" ht="18" thickBot="1" x14ac:dyDescent="0.3">
      <c r="F10" s="4" t="s">
        <v>5</v>
      </c>
      <c r="G10" s="4">
        <v>85</v>
      </c>
      <c r="H10" s="4" t="s">
        <v>28</v>
      </c>
      <c r="I10" s="4" t="str">
        <f>IF(AND(G10&gt;=75,H10="yes"),"Eligible","Not")</f>
        <v>Eligible</v>
      </c>
    </row>
    <row r="11" spans="6:13" ht="18" thickBot="1" x14ac:dyDescent="0.3">
      <c r="F11" s="5" t="s">
        <v>6</v>
      </c>
      <c r="G11" s="5">
        <v>72</v>
      </c>
      <c r="H11" s="5" t="s">
        <v>28</v>
      </c>
      <c r="I11" s="4" t="str">
        <f t="shared" ref="I11:I13" si="0">IF(AND(G11&gt;=75,H11="yes"),"Eligible","Not")</f>
        <v>Not</v>
      </c>
    </row>
    <row r="12" spans="6:13" ht="18" thickBot="1" x14ac:dyDescent="0.3">
      <c r="F12" s="4" t="s">
        <v>7</v>
      </c>
      <c r="G12" s="4">
        <v>90</v>
      </c>
      <c r="H12" s="4" t="s">
        <v>29</v>
      </c>
      <c r="I12" s="4" t="str">
        <f t="shared" si="0"/>
        <v>Not</v>
      </c>
    </row>
    <row r="13" spans="6:13" ht="18" thickBot="1" x14ac:dyDescent="0.3">
      <c r="F13" s="5" t="s">
        <v>8</v>
      </c>
      <c r="G13" s="5">
        <v>80</v>
      </c>
      <c r="H13" s="5" t="s">
        <v>28</v>
      </c>
      <c r="I13" s="4" t="str">
        <f t="shared" si="0"/>
        <v>Eligible</v>
      </c>
    </row>
  </sheetData>
  <mergeCells count="1">
    <mergeCell ref="F3:M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E1FAA-E5D3-4DDA-9822-3EE2CF1D95B2}">
  <dimension ref="G6:J11"/>
  <sheetViews>
    <sheetView workbookViewId="0">
      <selection activeCell="K8" sqref="K8"/>
    </sheetView>
  </sheetViews>
  <sheetFormatPr defaultRowHeight="15" x14ac:dyDescent="0.25"/>
  <cols>
    <col min="7" max="7" width="24.5703125" customWidth="1"/>
    <col min="8" max="8" width="16.140625" customWidth="1"/>
    <col min="9" max="9" width="20.42578125" customWidth="1"/>
    <col min="10" max="10" width="23.42578125" customWidth="1"/>
  </cols>
  <sheetData>
    <row r="6" spans="7:10" ht="15.75" thickBot="1" x14ac:dyDescent="0.3"/>
    <row r="7" spans="7:10" ht="69.75" thickBot="1" x14ac:dyDescent="0.3">
      <c r="G7" s="3" t="s">
        <v>30</v>
      </c>
      <c r="H7" s="3" t="s">
        <v>31</v>
      </c>
      <c r="I7" s="3" t="s">
        <v>32</v>
      </c>
      <c r="J7" s="3" t="s">
        <v>33</v>
      </c>
    </row>
    <row r="8" spans="7:10" ht="35.25" thickBot="1" x14ac:dyDescent="0.3">
      <c r="G8" s="4" t="s">
        <v>34</v>
      </c>
      <c r="H8" s="4">
        <v>9000</v>
      </c>
      <c r="I8" s="4" t="s">
        <v>29</v>
      </c>
      <c r="J8" s="4" t="str">
        <f>IF(OR(H8&gt;=10000,I8="Yes"),"Discount","Not")</f>
        <v>Not</v>
      </c>
    </row>
    <row r="9" spans="7:10" ht="18" thickBot="1" x14ac:dyDescent="0.3">
      <c r="G9" s="5" t="s">
        <v>35</v>
      </c>
      <c r="H9" s="5">
        <v>12000</v>
      </c>
      <c r="I9" s="5" t="s">
        <v>29</v>
      </c>
      <c r="J9" s="4" t="str">
        <f t="shared" ref="J9:J11" si="0">IF(OR(H9&gt;=10000,I9="Yes"),"Discount","Not")</f>
        <v>Discount</v>
      </c>
    </row>
    <row r="10" spans="7:10" ht="18" thickBot="1" x14ac:dyDescent="0.3">
      <c r="G10" s="4" t="s">
        <v>7</v>
      </c>
      <c r="H10" s="4">
        <v>4000</v>
      </c>
      <c r="I10" s="4" t="s">
        <v>28</v>
      </c>
      <c r="J10" s="4" t="str">
        <f t="shared" si="0"/>
        <v>Discount</v>
      </c>
    </row>
    <row r="11" spans="7:10" ht="18" thickBot="1" x14ac:dyDescent="0.3">
      <c r="G11" s="5" t="s">
        <v>36</v>
      </c>
      <c r="H11" s="5">
        <v>3000</v>
      </c>
      <c r="I11" s="5" t="s">
        <v>29</v>
      </c>
      <c r="J11" s="4" t="str">
        <f t="shared" si="0"/>
        <v>Not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B05ED-0F18-4232-AC60-5E4A3E83738D}">
  <dimension ref="H8:K13"/>
  <sheetViews>
    <sheetView workbookViewId="0">
      <selection activeCell="K6" sqref="K6"/>
    </sheetView>
  </sheetViews>
  <sheetFormatPr defaultRowHeight="15" x14ac:dyDescent="0.25"/>
  <cols>
    <col min="11" max="11" width="22.85546875" customWidth="1"/>
  </cols>
  <sheetData>
    <row r="8" spans="8:11" ht="15.75" thickBot="1" x14ac:dyDescent="0.3"/>
    <row r="9" spans="8:11" ht="35.25" thickBot="1" x14ac:dyDescent="0.3">
      <c r="H9" s="3" t="s">
        <v>37</v>
      </c>
      <c r="I9" s="3" t="s">
        <v>12</v>
      </c>
      <c r="J9" s="3" t="s">
        <v>38</v>
      </c>
      <c r="K9" s="3" t="s">
        <v>39</v>
      </c>
    </row>
    <row r="10" spans="8:11" ht="18" thickBot="1" x14ac:dyDescent="0.3">
      <c r="H10" s="4" t="s">
        <v>14</v>
      </c>
      <c r="I10" s="4">
        <v>35000</v>
      </c>
      <c r="J10" s="4">
        <v>720</v>
      </c>
      <c r="K10" s="4" t="str">
        <f>IF(OR(I10&gt;=40000,J10&gt;=700),"Approve","Not")</f>
        <v>Approve</v>
      </c>
    </row>
    <row r="11" spans="8:11" ht="35.25" thickBot="1" x14ac:dyDescent="0.3">
      <c r="H11" s="5" t="s">
        <v>15</v>
      </c>
      <c r="I11" s="5">
        <v>25000</v>
      </c>
      <c r="J11" s="5">
        <v>680</v>
      </c>
      <c r="K11" s="4" t="str">
        <f t="shared" ref="K11:K13" si="0">IF(OR(I11&gt;=40000,J11&gt;=700),"Approve","Not")</f>
        <v>Not</v>
      </c>
    </row>
    <row r="12" spans="8:11" ht="18" thickBot="1" x14ac:dyDescent="0.3">
      <c r="H12" s="4" t="s">
        <v>16</v>
      </c>
      <c r="I12" s="4">
        <v>50000</v>
      </c>
      <c r="J12" s="4">
        <v>650</v>
      </c>
      <c r="K12" s="4" t="str">
        <f t="shared" si="0"/>
        <v>Approve</v>
      </c>
    </row>
    <row r="13" spans="8:11" ht="18" thickBot="1" x14ac:dyDescent="0.3">
      <c r="H13" s="5" t="s">
        <v>17</v>
      </c>
      <c r="I13" s="5">
        <v>20000</v>
      </c>
      <c r="J13" s="5">
        <v>600</v>
      </c>
      <c r="K13" s="4" t="str">
        <f t="shared" si="0"/>
        <v>Not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63CC7-3DF6-4F72-A6B3-BF6D1E0EF910}">
  <dimension ref="E3:G8"/>
  <sheetViews>
    <sheetView tabSelected="1" workbookViewId="0">
      <selection activeCell="G5" sqref="G5:G8"/>
    </sheetView>
  </sheetViews>
  <sheetFormatPr defaultRowHeight="15" x14ac:dyDescent="0.25"/>
  <cols>
    <col min="5" max="5" width="12.7109375" customWidth="1"/>
    <col min="6" max="6" width="17.28515625" customWidth="1"/>
    <col min="7" max="7" width="30.85546875" customWidth="1"/>
  </cols>
  <sheetData>
    <row r="3" spans="5:7" ht="15.75" thickBot="1" x14ac:dyDescent="0.3"/>
    <row r="4" spans="5:7" ht="35.25" thickBot="1" x14ac:dyDescent="0.3">
      <c r="E4" s="3" t="s">
        <v>21</v>
      </c>
      <c r="F4" s="3" t="s">
        <v>40</v>
      </c>
      <c r="G4" s="3" t="s">
        <v>41</v>
      </c>
    </row>
    <row r="5" spans="5:7" ht="18" thickBot="1" x14ac:dyDescent="0.3">
      <c r="E5" s="4" t="s">
        <v>5</v>
      </c>
      <c r="F5" s="4" t="b">
        <v>1</v>
      </c>
      <c r="G5" s="4" t="str">
        <f>IF(NOT(F5="TRUE"),"PRESENT","ABSENT")</f>
        <v>PRESENT</v>
      </c>
    </row>
    <row r="6" spans="5:7" ht="18" thickBot="1" x14ac:dyDescent="0.3">
      <c r="E6" s="5" t="s">
        <v>6</v>
      </c>
      <c r="F6" s="5" t="b">
        <v>0</v>
      </c>
      <c r="G6" s="4" t="str">
        <f t="shared" ref="G6:G8" si="0">IF(NOT(F6="TRUE"),"PRESENT","ABSENT")</f>
        <v>PRESENT</v>
      </c>
    </row>
    <row r="7" spans="5:7" ht="18" thickBot="1" x14ac:dyDescent="0.3">
      <c r="E7" s="4" t="s">
        <v>7</v>
      </c>
      <c r="F7" s="4" t="b">
        <v>1</v>
      </c>
      <c r="G7" s="4" t="str">
        <f t="shared" si="0"/>
        <v>PRESENT</v>
      </c>
    </row>
    <row r="8" spans="5:7" ht="18" thickBot="1" x14ac:dyDescent="0.3">
      <c r="E8" s="5" t="s">
        <v>8</v>
      </c>
      <c r="F8" s="5" t="b">
        <v>0</v>
      </c>
      <c r="G8" s="4" t="str">
        <f t="shared" si="0"/>
        <v>PRESENT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AB7D7-5535-45B2-8197-B75F19946551}">
  <dimension ref="F6:I11"/>
  <sheetViews>
    <sheetView workbookViewId="0">
      <selection activeCell="I8" sqref="I8:I11"/>
    </sheetView>
  </sheetViews>
  <sheetFormatPr defaultRowHeight="15" x14ac:dyDescent="0.25"/>
  <cols>
    <col min="6" max="6" width="15.42578125" customWidth="1"/>
    <col min="7" max="7" width="14.85546875" customWidth="1"/>
    <col min="8" max="8" width="16.28515625" customWidth="1"/>
  </cols>
  <sheetData>
    <row r="6" spans="6:9" ht="15.75" thickBot="1" x14ac:dyDescent="0.3"/>
    <row r="7" spans="6:9" ht="35.25" thickBot="1" x14ac:dyDescent="0.3">
      <c r="F7" s="3" t="s">
        <v>42</v>
      </c>
      <c r="G7" s="3" t="s">
        <v>43</v>
      </c>
      <c r="H7" s="3" t="s">
        <v>4</v>
      </c>
    </row>
    <row r="8" spans="6:9" ht="18" thickBot="1" x14ac:dyDescent="0.3">
      <c r="F8" s="4">
        <v>10</v>
      </c>
      <c r="G8" s="4">
        <v>2</v>
      </c>
      <c r="H8" s="4">
        <f>F8/G8</f>
        <v>5</v>
      </c>
      <c r="I8">
        <f>IFERROR(H8,"invalid")</f>
        <v>5</v>
      </c>
    </row>
    <row r="9" spans="6:9" ht="18" thickBot="1" x14ac:dyDescent="0.3">
      <c r="F9" s="5">
        <v>15</v>
      </c>
      <c r="G9" s="5">
        <v>0</v>
      </c>
      <c r="H9" s="4" t="e">
        <f t="shared" ref="H9:H11" si="0">F9/G9</f>
        <v>#DIV/0!</v>
      </c>
      <c r="I9" t="str">
        <f t="shared" ref="I9:I11" si="1">IFERROR(H9,"invalid")</f>
        <v>invalid</v>
      </c>
    </row>
    <row r="10" spans="6:9" ht="18" thickBot="1" x14ac:dyDescent="0.3">
      <c r="F10" s="4">
        <v>20</v>
      </c>
      <c r="G10" s="4">
        <v>5</v>
      </c>
      <c r="H10" s="4">
        <f t="shared" si="0"/>
        <v>4</v>
      </c>
      <c r="I10">
        <f t="shared" si="1"/>
        <v>4</v>
      </c>
    </row>
    <row r="11" spans="6:9" ht="18" thickBot="1" x14ac:dyDescent="0.3">
      <c r="F11" s="5">
        <v>8</v>
      </c>
      <c r="G11" s="5">
        <v>0</v>
      </c>
      <c r="H11" s="4" t="e">
        <f t="shared" si="0"/>
        <v>#DIV/0!</v>
      </c>
      <c r="I11" t="str">
        <f t="shared" si="1"/>
        <v>invalid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62C28-97FA-4841-B3BD-18BBF0460DDC}">
  <dimension ref="E4:H9"/>
  <sheetViews>
    <sheetView workbookViewId="0">
      <selection activeCell="H3" sqref="H3"/>
    </sheetView>
  </sheetViews>
  <sheetFormatPr defaultRowHeight="15" x14ac:dyDescent="0.25"/>
  <cols>
    <col min="5" max="5" width="14.28515625" customWidth="1"/>
    <col min="6" max="6" width="26" customWidth="1"/>
    <col min="7" max="7" width="17" customWidth="1"/>
    <col min="8" max="8" width="29.42578125" customWidth="1"/>
  </cols>
  <sheetData>
    <row r="4" spans="5:8" ht="15.75" thickBot="1" x14ac:dyDescent="0.3"/>
    <row r="5" spans="5:8" ht="69.75" thickBot="1" x14ac:dyDescent="0.3">
      <c r="E5" s="3" t="s">
        <v>11</v>
      </c>
      <c r="F5" s="3" t="s">
        <v>44</v>
      </c>
      <c r="G5" s="3" t="s">
        <v>26</v>
      </c>
      <c r="H5" s="3" t="s">
        <v>45</v>
      </c>
    </row>
    <row r="6" spans="5:8" ht="18" thickBot="1" x14ac:dyDescent="0.3">
      <c r="E6" s="4" t="s">
        <v>46</v>
      </c>
      <c r="F6" s="4">
        <v>45</v>
      </c>
      <c r="G6" s="4">
        <v>92</v>
      </c>
      <c r="H6" s="4" t="str">
        <f>IF(AND(G6&gt;=90,F6&gt;=40),"Excillent",IF(AND(G6&gt;=80),"Good","Needs Improvement"))</f>
        <v>Excillent</v>
      </c>
    </row>
    <row r="7" spans="5:8" ht="18" thickBot="1" x14ac:dyDescent="0.3">
      <c r="E7" s="5" t="s">
        <v>47</v>
      </c>
      <c r="F7" s="5">
        <v>38</v>
      </c>
      <c r="G7" s="5">
        <v>85</v>
      </c>
      <c r="H7" s="4" t="str">
        <f t="shared" ref="H7:H9" si="0">IF(AND(G7&gt;=90,F7&gt;=40),"Excillent",IF(AND(G7&gt;=80),"Good","Needs Improvement"))</f>
        <v>Good</v>
      </c>
    </row>
    <row r="8" spans="5:8" ht="18" thickBot="1" x14ac:dyDescent="0.3">
      <c r="E8" s="4" t="s">
        <v>48</v>
      </c>
      <c r="F8" s="4">
        <v>50</v>
      </c>
      <c r="G8" s="4">
        <v>95</v>
      </c>
      <c r="H8" s="4" t="str">
        <f t="shared" si="0"/>
        <v>Excillent</v>
      </c>
    </row>
    <row r="9" spans="5:8" ht="18" thickBot="1" x14ac:dyDescent="0.3">
      <c r="E9" s="5" t="s">
        <v>49</v>
      </c>
      <c r="F9" s="5">
        <v>30</v>
      </c>
      <c r="G9" s="5">
        <v>70</v>
      </c>
      <c r="H9" s="4" t="str">
        <f t="shared" si="0"/>
        <v>Needs Improvement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ASDC47</dc:creator>
  <cp:lastModifiedBy>ASDC47</cp:lastModifiedBy>
  <dcterms:created xsi:type="dcterms:W3CDTF">2026-06-24T09:51:53Z</dcterms:created>
  <dcterms:modified xsi:type="dcterms:W3CDTF">2026-06-24T10:16:07Z</dcterms:modified>
</cp:coreProperties>
</file>